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pin\Downloads\"/>
    </mc:Choice>
  </mc:AlternateContent>
  <bookViews>
    <workbookView xWindow="0" yWindow="0" windowWidth="38400" windowHeight="17850"/>
  </bookViews>
  <sheets>
    <sheet name="ATR Risk Model" sheetId="1" r:id="rId1"/>
  </sheets>
  <calcPr calcId="162913"/>
  <extLst>
    <ext uri="GoogleSheetsCustomDataVersion2">
      <go:sheetsCustomData xmlns:go="http://customooxmlschemas.google.com/" r:id="rId5" roundtripDataChecksum="JXTRzkqWlC0bOlZaFD5RbWSoUqoStDMlrbnU6c3Wd+Y="/>
    </ext>
  </extLst>
</workbook>
</file>

<file path=xl/calcChain.xml><?xml version="1.0" encoding="utf-8"?>
<calcChain xmlns="http://schemas.openxmlformats.org/spreadsheetml/2006/main">
  <c r="B18" i="1" l="1"/>
  <c r="B12" i="1"/>
  <c r="B13" i="1" s="1"/>
  <c r="B15" i="1" s="1"/>
  <c r="B11" i="1"/>
  <c r="B16" i="1" s="1"/>
  <c r="B17" i="1" l="1"/>
  <c r="B19" i="1" s="1"/>
</calcChain>
</file>

<file path=xl/sharedStrings.xml><?xml version="1.0" encoding="utf-8"?>
<sst xmlns="http://schemas.openxmlformats.org/spreadsheetml/2006/main" count="16" uniqueCount="16">
  <si>
    <t>Gold Petal Position Sizing (ATR-Based Risk Model)</t>
  </si>
  <si>
    <t>Capital (₹)</t>
  </si>
  <si>
    <t>Base Risk %</t>
  </si>
  <si>
    <t>Entry Price</t>
  </si>
  <si>
    <t>Stoploss Price</t>
  </si>
  <si>
    <t>Margin per Lot (₹)</t>
  </si>
  <si>
    <t>Slippage Buffer (₹)</t>
  </si>
  <si>
    <t>ATR (₹)</t>
  </si>
  <si>
    <t>Stoploss Distance (₹)</t>
  </si>
  <si>
    <t>Volatility Ratio (SL / ATR)</t>
  </si>
  <si>
    <t>Suggested Risk %</t>
  </si>
  <si>
    <t>Risk Amount (₹)</t>
  </si>
  <si>
    <t>Effective SL</t>
  </si>
  <si>
    <t>Lots by Risk</t>
  </si>
  <si>
    <t>Lots by Margin (70%)</t>
  </si>
  <si>
    <t>Final 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</si>
</sst>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workbookViewId="0"/>
  </sheetViews>
  <sheetFormatPr defaultColWidth="14.453125" defaultRowHeight="15" customHeight="1" x14ac:dyDescent="0.35"/>
  <cols>
    <col min="1" max="1" width="20.54296875" customWidth="1"/>
    <col min="2" max="26" width="8.7265625" customWidth="1"/>
  </cols>
  <sheetData>
    <row r="1" spans="1:2" ht="14.5" x14ac:dyDescent="0.35">
      <c r="A1" s="1" t="s">
        <v>0</v>
      </c>
    </row>
    <row r="3" spans="1:2" ht="14.5" x14ac:dyDescent="0.35">
      <c r="A3" s="1" t="s">
        <v>1</v>
      </c>
      <c r="B3" s="1">
        <v>100000</v>
      </c>
    </row>
    <row r="4" spans="1:2" ht="14.5" x14ac:dyDescent="0.35">
      <c r="A4" s="1" t="s">
        <v>2</v>
      </c>
      <c r="B4" s="1">
        <v>1</v>
      </c>
    </row>
    <row r="5" spans="1:2" ht="14.5" x14ac:dyDescent="0.35">
      <c r="A5" s="1" t="s">
        <v>3</v>
      </c>
      <c r="B5" s="2">
        <v>152576</v>
      </c>
    </row>
    <row r="6" spans="1:2" ht="14.5" x14ac:dyDescent="0.35">
      <c r="A6" s="1" t="s">
        <v>4</v>
      </c>
      <c r="B6" s="2">
        <v>152589</v>
      </c>
    </row>
    <row r="7" spans="1:2" ht="14.5" x14ac:dyDescent="0.35">
      <c r="A7" s="1" t="s">
        <v>5</v>
      </c>
      <c r="B7" s="1">
        <v>1664</v>
      </c>
    </row>
    <row r="8" spans="1:2" ht="14.5" x14ac:dyDescent="0.35">
      <c r="A8" s="1" t="s">
        <v>6</v>
      </c>
      <c r="B8" s="1">
        <v>2</v>
      </c>
    </row>
    <row r="9" spans="1:2" ht="14.5" x14ac:dyDescent="0.35">
      <c r="A9" s="1" t="s">
        <v>7</v>
      </c>
      <c r="B9" s="2">
        <v>50</v>
      </c>
    </row>
    <row r="11" spans="1:2" ht="14.5" x14ac:dyDescent="0.35">
      <c r="A11" s="1" t="s">
        <v>8</v>
      </c>
      <c r="B11" s="1">
        <f>ABS(B5-B6)</f>
        <v>13</v>
      </c>
    </row>
    <row r="12" spans="1:2" ht="14.5" x14ac:dyDescent="0.35">
      <c r="A12" s="1" t="s">
        <v>9</v>
      </c>
      <c r="B12" s="1">
        <f>IF(B9=0,0,B11/B9)</f>
        <v>0.26</v>
      </c>
    </row>
    <row r="13" spans="1:2" ht="14.5" x14ac:dyDescent="0.35">
      <c r="A13" s="1" t="s">
        <v>10</v>
      </c>
      <c r="B13" s="1">
        <f>IF(B12&gt;1.5,0.5,IF(B12&gt;1,0.8,1))</f>
        <v>1</v>
      </c>
    </row>
    <row r="15" spans="1:2" ht="14.5" x14ac:dyDescent="0.35">
      <c r="A15" s="1" t="s">
        <v>11</v>
      </c>
      <c r="B15" s="1">
        <f>B3*(B13/100)</f>
        <v>1000</v>
      </c>
    </row>
    <row r="16" spans="1:2" ht="14.5" x14ac:dyDescent="0.35">
      <c r="A16" s="1" t="s">
        <v>12</v>
      </c>
      <c r="B16" s="1">
        <f>B11+B8</f>
        <v>15</v>
      </c>
    </row>
    <row r="17" spans="1:2" ht="14.5" x14ac:dyDescent="0.35">
      <c r="A17" s="1" t="s">
        <v>13</v>
      </c>
      <c r="B17" s="1">
        <f>IF(B16=0,0,B15/B16)</f>
        <v>66.666666666666671</v>
      </c>
    </row>
    <row r="18" spans="1:2" ht="14.5" x14ac:dyDescent="0.35">
      <c r="A18" s="1" t="s">
        <v>14</v>
      </c>
      <c r="B18" s="1">
        <f>(B3*0.7)/B7</f>
        <v>42.067307692307693</v>
      </c>
    </row>
    <row r="19" spans="1:2" ht="14.5" x14ac:dyDescent="0.35">
      <c r="A19" s="1" t="s">
        <v>15</v>
      </c>
      <c r="B19" s="1">
        <f>ROUNDDOWN(MIN(B17,B18),0)</f>
        <v>42</v>
      </c>
    </row>
    <row r="21" spans="1:2" ht="15.75" customHeight="1" x14ac:dyDescent="0.35"/>
    <row r="22" spans="1:2" ht="15.75" customHeight="1" x14ac:dyDescent="0.35"/>
    <row r="23" spans="1:2" ht="15.75" customHeight="1" x14ac:dyDescent="0.35"/>
    <row r="24" spans="1:2" ht="15.75" customHeight="1" x14ac:dyDescent="0.35"/>
    <row r="25" spans="1:2" ht="15.75" customHeight="1" x14ac:dyDescent="0.35"/>
    <row r="26" spans="1:2" ht="15.75" customHeight="1" x14ac:dyDescent="0.35"/>
    <row r="27" spans="1:2" ht="15.75" customHeight="1" x14ac:dyDescent="0.35"/>
    <row r="28" spans="1:2" ht="15.75" customHeight="1" x14ac:dyDescent="0.35"/>
    <row r="29" spans="1:2" ht="15.75" customHeight="1" x14ac:dyDescent="0.35"/>
    <row r="30" spans="1:2" ht="15.75" customHeight="1" x14ac:dyDescent="0.35"/>
    <row r="31" spans="1:2" ht="15.75" customHeight="1" x14ac:dyDescent="0.35"/>
    <row r="32" spans="1: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 Risk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Gopinath Rajendran</cp:lastModifiedBy>
  <dcterms:created xsi:type="dcterms:W3CDTF">2026-04-21T18:39:30Z</dcterms:created>
  <dcterms:modified xsi:type="dcterms:W3CDTF">2026-04-21T19:09:07Z</dcterms:modified>
</cp:coreProperties>
</file>